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4e6580cfd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4314be9f49847d2"/>
    <x:sheet xmlns:r="http://schemas.openxmlformats.org/officeDocument/2006/relationships" name="비용내역" sheetId="2" r:id="Rbddcc34c3f34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6"/>
      <x:color rgb="FF222222"/>
      <x:name val="Arial"/>
    </x:font>
    <x:font>
      <x:sz val="11"/>
      <x:color rgb="FF666666"/>
      <x:name val="Arial"/>
    </x:font>
    <x:font>
      <x:b/>
      <x:sz val="16"/>
      <x:color rgb="FFDA31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5F7"/>
      </x:patternFill>
    </x:fill>
    <x:fill>
      <x:patternFill patternType="solid">
        <x:fgColor rgb="FFDA3148"/>
      </x:patternFill>
    </x:fill>
    <x:fill>
      <x:patternFill patternType="solid">
        <x:fgColor rgb="FFFFF8E8"/>
      </x:patternFill>
    </x:fill>
    <x:fill>
      <x:patternFill patternType="solid">
        <x:fgColor rgb="FFFCE9E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5700"/>
      </x:font>
      <x:fill>
        <x:patternFill patternType="solid">
          <x:bgColor rgb="FFFFF0D6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01170354241a8" /><Relationship Type="http://schemas.openxmlformats.org/officeDocument/2006/relationships/theme" Target="/xl/theme/theme1.xml" Id="R9ba011d732884959" /><Relationship Type="http://schemas.openxmlformats.org/officeDocument/2006/relationships/sharedStrings" Target="/xl/sharedStrings.xml" Id="Ra0920251079d4236" /><Relationship Type="http://schemas.openxmlformats.org/officeDocument/2006/relationships/worksheet" Target="/xl/worksheets/sheet1.xml" Id="R84314be9f49847d2" /><Relationship Type="http://schemas.openxmlformats.org/officeDocument/2006/relationships/worksheet" Target="/xl/worksheets/sheet2.xml" Id="Rbddcc34c3f344985" /></Relationships>
</file>

<file path=xl/tables/table1.xml><?xml version="1.0" encoding="utf-8"?>
<x:table xmlns:x="http://schemas.openxmlformats.org/spreadsheetml/2006/main" id="1" name="Expenses다음주" displayName="Expenses다음주" ref="A1:N13" headerRowCount="1" totalsRowCount="0" totalsRowShown="0">
  <x:autoFilter ref="A1:N13"/>
  <x:tableColumns count="14">
    <x:tableColumn id="1" name="전표번호"/>
    <x:tableColumn id="2" name="사용일"/>
    <x:tableColumn id="3" name="부서"/>
    <x:tableColumn id="4" name="품목"/>
    <x:tableColumn id="5" name="비용유형"/>
    <x:tableColumn id="6" name="수량"/>
    <x:tableColumn id="7" name="단가"/>
    <x:tableColumn id="8" name="금액"/>
    <x:tableColumn id="9" name="처리상태"/>
    <x:tableColumn id="10" name="담당자"/>
    <x:tableColumn id="11" name="거래처"/>
    <x:tableColumn id="12" name="결제방법"/>
    <x:tableColumn id="13" name="프로젝트"/>
    <x:tableColumn id="14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239f6518954b30" /></Relationships>
</file>

<file path=xl/worksheets/sheet1.xml><?xml version="1.0" encoding="utf-8"?>
<x:worksheet xmlns:x="http://schemas.openxmlformats.org/spreadsheetml/2006/main">
  <x:sheetPr>
    <x:tabColor rgb="FFDA3148"/>
  </x:sheetPr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15" t="str">
        <x:v>주간 비용 다음주</x:v>
      </x:c>
      <x:c r="B2" s="15"/>
      <x:c r="C2" s="2"/>
      <x:c r="D2" s="2"/>
      <x:c r="E2" s="2"/>
      <x:c r="F2" s="2"/>
      <x:c r="G2" s="2"/>
    </x:row>
    <x:row r="3" ht="26" customHeight="1">
      <x:c r="A3" s="16" t="str">
        <x:v>2026.09.14 ~ 09.17</x:v>
      </x:c>
      <x:c r="B3" s="16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0" customHeight="1">
      <x:c r="A5" s="6" t="str">
        <x:v>지표</x:v>
      </x:c>
      <x:c r="B5" s="6" t="str">
        <x:v>값</x:v>
      </x:c>
      <x:c r="C5" s="2"/>
      <x:c r="D5" s="6" t="str">
        <x:v>부서</x:v>
      </x:c>
      <x:c r="E5" s="6" t="str">
        <x:v>금액(원)</x:v>
      </x:c>
      <x:c r="F5" s="6" t="str">
        <x:v>완료</x:v>
      </x:c>
      <x:c r="G5" s="6" t="str">
        <x:v>진행</x:v>
      </x:c>
    </x:row>
    <x:row r="6" ht="26" customHeight="1">
      <x:c r="A6" s="3" t="str">
        <x:v>입력 건수</x:v>
      </x:c>
      <x:c r="B6" s="10" t="n">
        <x:f>COUNTA('비용내역'!$A$2:$A$13)</x:f>
        <x:v>12</x:v>
      </x:c>
      <x:c r="C6" s="2"/>
      <x:c r="D6" s="2" t="str">
        <x:v>경영지원</x:v>
      </x:c>
      <x:c r="E6" s="10" t="n">
        <x:f>IF(COUNT('비용내역'!$F$2:$F$13)+COUNT('비용내역'!$G$2:$G$13)&lt;&gt;2*COUNTA('비용내역'!$A$2:$A$13),"수량·단가 확인",SUMIFS('비용내역'!$H$2:$H$13,'비용내역'!$C$2:$C$13,D6))</x:f>
        <x:v>398100</x:v>
      </x:c>
      <x:c r="F6" s="10" t="n">
        <x:f>COUNTIFS('비용내역'!$C$2:$C$13,D6,'비용내역'!$I$2:$I$13,"완료")</x:f>
        <x:v>3</x:v>
      </x:c>
      <x:c r="G6" s="10" t="n">
        <x:f>COUNTIFS('비용내역'!$C$2:$C$13,D6,'비용내역'!$I$2:$I$13,"진행")</x:f>
        <x:v>1</x:v>
      </x:c>
    </x:row>
    <x:row r="7" ht="26" customHeight="1">
      <x:c r="A7" s="3" t="str">
        <x:v>총액(원)</x:v>
      </x:c>
      <x:c r="B7" s="17" t="n">
        <x:f>IF(COUNT('비용내역'!$F$2:$F$13)+COUNT('비용내역'!$G$2:$G$13)&lt;&gt;2*COUNTA('비용내역'!$A$2:$A$13),"수량·단가 확인",SUM('비용내역'!$H$2:$H$13))</x:f>
        <x:v>1130900</x:v>
      </x:c>
      <x:c r="C7" s="2"/>
      <x:c r="D7" s="3" t="str">
        <x:v>영업</x:v>
      </x:c>
      <x:c r="E7" s="9" t="n">
        <x:f>IF(COUNT('비용내역'!$F$2:$F$13)+COUNT('비용내역'!$G$2:$G$13)&lt;&gt;2*COUNTA('비용내역'!$A$2:$A$13),"수량·단가 확인",SUMIFS('비용내역'!$H$2:$H$13,'비용내역'!$C$2:$C$13,D7))</x:f>
        <x:v>235800</x:v>
      </x:c>
      <x:c r="F7" s="9" t="n">
        <x:f>COUNTIFS('비용내역'!$C$2:$C$13,D7,'비용내역'!$I$2:$I$13,"완료")</x:f>
        <x:v>3</x:v>
      </x:c>
      <x:c r="G7" s="9" t="n">
        <x:f>COUNTIFS('비용내역'!$C$2:$C$13,D7,'비용내역'!$I$2:$I$13,"진행")</x:f>
        <x:v>1</x:v>
      </x:c>
    </x:row>
    <x:row r="8" ht="26" customHeight="1">
      <x:c r="A8" s="3" t="str">
        <x:v>완료</x:v>
      </x:c>
      <x:c r="B8" s="10" t="n">
        <x:f>COUNTIFS('비용내역'!$I$2:$I$13,"완료")</x:f>
        <x:v>8</x:v>
      </x:c>
      <x:c r="C8" s="2"/>
      <x:c r="D8" s="2" t="str">
        <x:v>마케팅</x:v>
      </x:c>
      <x:c r="E8" s="10" t="n">
        <x:f>IF(COUNT('비용내역'!$F$2:$F$13)+COUNT('비용내역'!$G$2:$G$13)&lt;&gt;2*COUNTA('비용내역'!$A$2:$A$13),"수량·단가 확인",SUMIFS('비용내역'!$H$2:$H$13,'비용내역'!$C$2:$C$13,D8))</x:f>
        <x:v>497000</x:v>
      </x:c>
      <x:c r="F8" s="10" t="n">
        <x:f>COUNTIFS('비용내역'!$C$2:$C$13,D8,'비용내역'!$I$2:$I$13,"완료")</x:f>
        <x:v>2</x:v>
      </x:c>
      <x:c r="G8" s="10" t="n">
        <x:f>COUNTIFS('비용내역'!$C$2:$C$13,D8,'비용내역'!$I$2:$I$13,"진행")</x:f>
        <x:v>2</x:v>
      </x:c>
    </x:row>
    <x:row r="9" ht="26" customHeight="1">
      <x:c r="A9" s="3" t="str">
        <x:v>진행</x:v>
      </x:c>
      <x:c r="B9" s="10" t="n">
        <x:f>COUNTIFS('비용내역'!$I$2:$I$13,"진행")</x:f>
        <x:v>4</x:v>
      </x:c>
      <x:c r="C9" s="2"/>
      <x:c r="D9" s="2"/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36" customHeight="1">
      <x:c r="A12" s="18" t="str">
        <x:v>열 제목을 읽고 이번 입력으로 새 보고서를 만드세요.</x:v>
      </x:c>
      <x:c r="B12" s="18"/>
      <x:c r="C12" s="18"/>
      <x:c r="D12" s="18"/>
      <x:c r="E12" s="18"/>
      <x:c r="F12" s="18"/>
      <x:c r="G12" s="18"/>
    </x:row>
    <x:row r="13" ht="26" customHeight="1">
      <x:c r="A13" s="2"/>
      <x:c r="B13" s="2"/>
      <x:c r="C13" s="2"/>
      <x:c r="D13" s="2"/>
      <x:c r="E13" s="2"/>
      <x:c r="F13" s="2"/>
      <x:c r="G13" s="2"/>
    </x:row>
    <x:row r="14" ht="26" customHeight="1">
      <x:c r="A14" s="2" t="str">
        <x:v>가상 자료</x:v>
      </x:c>
      <x:c r="B14" s="2" t="str">
        <x:v>모든 인물·거래처·비용은 수업용 가상 자료입니다.</x:v>
      </x:c>
      <x:c r="C14" s="2"/>
      <x:c r="D14" s="2"/>
      <x:c r="E14" s="2"/>
      <x:c r="F14" s="2"/>
      <x:c r="G14" s="2"/>
    </x:row>
    <x:row r="15" ht="26" customHeight="1">
      <x:c r="A15" s="2" t="str">
        <x:v>입력 표시</x:v>
      </x:c>
      <x:c r="B15" s="2" t="str">
        <x:v>연한 노랑: 수량·단가. 연한 분홍: 금액.</x:v>
      </x:c>
      <x:c r="C15" s="2"/>
      <x:c r="D15" s="2"/>
      <x:c r="E15" s="2"/>
      <x:c r="F15" s="2"/>
      <x:c r="G15" s="2"/>
    </x:row>
    <x:row r="16" ht="26" customHeight="1">
      <x:c r="A16" s="2" t="str">
        <x:v>계산 확인</x:v>
      </x:c>
      <x:c r="B16" s="2" t="str">
        <x:v>금액은 수량 × 단가입니다. 원본 행 검사는 보고서 도구가 실행합니다.</x:v>
      </x:c>
      <x:c r="C16" s="2"/>
      <x:c r="D16" s="2"/>
      <x:c r="E16" s="2"/>
      <x:c r="F16" s="2"/>
      <x:c r="G16" s="2"/>
    </x:row>
    <x:row r="17" ht="26" customHeight="1">
      <x:c r="A17" s="2"/>
      <x:c r="B17" s="2"/>
      <x:c r="C17" s="2"/>
      <x:c r="D17" s="2"/>
      <x:c r="E17" s="2"/>
      <x:c r="F17" s="2"/>
      <x:c r="G17" s="2"/>
    </x:row>
  </x:sheetData>
  <x:mergeCells>
    <x:mergeCell ref="A12:G12"/>
    <x:mergeCell ref="B14:G14"/>
    <x:mergeCell ref="B15:G15"/>
    <x:mergeCell ref="B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7C8D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6" hidden="0" customWidth="1"/>
    <x:col min="5" max="5" width="12" hidden="0" customWidth="1"/>
    <x:col min="6" max="6" width="10" hidden="0" customWidth="1"/>
    <x:col min="7" max="7" width="15" hidden="0" customWidth="1"/>
    <x:col min="8" max="8" width="15" hidden="0" customWidth="1"/>
    <x:col min="9" max="9" width="12" hidden="0" customWidth="1"/>
    <x:col min="10" max="10" width="14" hidden="0" customWidth="1"/>
    <x:col min="11" max="11" width="24" hidden="0" customWidth="1"/>
    <x:col min="12" max="12" width="14" hidden="0" customWidth="1"/>
    <x:col min="13" max="13" width="16" hidden="0" customWidth="1"/>
    <x:col min="14" max="14" width="36" hidden="0" customWidth="1"/>
  </x:cols>
  <x:sheetData>
    <x:row r="1" ht="30" customHeight="1">
      <x:c r="A1" s="6" t="str">
        <x:v>전표번호</x:v>
      </x:c>
      <x:c r="B1" s="6" t="str">
        <x:v>사용일</x:v>
      </x:c>
      <x:c r="C1" s="6" t="str">
        <x:v>부서</x:v>
      </x:c>
      <x:c r="D1" s="6" t="str">
        <x:v>품목</x:v>
      </x:c>
      <x:c r="E1" s="6" t="str">
        <x:v>비용유형</x:v>
      </x:c>
      <x:c r="F1" s="6" t="str">
        <x:v>수량</x:v>
      </x:c>
      <x:c r="G1" s="6" t="str">
        <x:v>단가</x:v>
      </x:c>
      <x:c r="H1" s="6" t="str">
        <x:v>금액</x:v>
      </x:c>
      <x:c r="I1" s="6" t="str">
        <x:v>처리상태</x:v>
      </x:c>
      <x:c r="J1" s="6" t="str">
        <x:v>담당자</x:v>
      </x:c>
      <x:c r="K1" s="6" t="str">
        <x:v>거래처</x:v>
      </x:c>
      <x:c r="L1" s="6" t="str">
        <x:v>결제방법</x:v>
      </x:c>
      <x:c r="M1" s="6" t="str">
        <x:v>프로젝트</x:v>
      </x:c>
      <x:c r="N1" s="6" t="str">
        <x:v>메모</x:v>
      </x:c>
    </x:row>
    <x:row r="2" ht="26" customHeight="1">
      <x:c r="A2" s="3" t="str">
        <x:v>W101</x:v>
      </x:c>
      <x:c r="B2" s="7" t="n">
        <x:v>46279</x:v>
      </x:c>
      <x:c r="C2" s="3" t="str">
        <x:v>경영지원</x:v>
      </x:c>
      <x:c r="D2" s="3" t="str">
        <x:v>서류 보관 상자</x:v>
      </x:c>
      <x:c r="E2" s="3" t="str">
        <x:v>소모품</x:v>
      </x:c>
      <x:c r="F2" s="13" t="n">
        <x:v>8</x:v>
      </x:c>
      <x:c r="G2" s="13" t="n">
        <x:v>4200</x:v>
      </x:c>
      <x:c r="H2" s="14" t="n">
        <x:f>F2*G2</x:f>
        <x:v>33600</x:v>
      </x:c>
      <x:c r="I2" s="3" t="str">
        <x:v>완료</x:v>
      </x:c>
      <x:c r="J2" s="3" t="str">
        <x:v>가상 정민</x:v>
      </x:c>
      <x:c r="K2" s="3" t="str">
        <x:v>가상 문구상사</x:v>
      </x:c>
      <x:c r="L2" s="3" t="str">
        <x:v>법인카드</x:v>
      </x:c>
      <x:c r="M2" s="3" t="str">
        <x:v>사무환경</x:v>
      </x:c>
      <x:c r="N2" s="3" t="str">
        <x:v>월말 서류 정리</x:v>
      </x:c>
    </x:row>
    <x:row r="3" ht="26" customHeight="1">
      <x:c r="A3" s="2" t="str">
        <x:v>W102</x:v>
      </x:c>
      <x:c r="B3" s="8" t="n">
        <x:v>46279</x:v>
      </x:c>
      <x:c r="C3" s="2" t="str">
        <x:v>영업</x:v>
      </x:c>
      <x:c r="D3" s="2" t="str">
        <x:v>신규 고객 방문 열차</x:v>
      </x:c>
      <x:c r="E3" s="2" t="str">
        <x:v>교통비</x:v>
      </x:c>
      <x:c r="F3" s="13" t="n">
        <x:v>3</x:v>
      </x:c>
      <x:c r="G3" s="13" t="n">
        <x:v>38500</x:v>
      </x:c>
      <x:c r="H3" s="14" t="n">
        <x:f>F3*G3</x:f>
        <x:v>115500</x:v>
      </x:c>
      <x:c r="I3" s="2" t="str">
        <x:v>완료</x:v>
      </x:c>
      <x:c r="J3" s="2" t="str">
        <x:v>가상 수아</x:v>
      </x:c>
      <x:c r="K3" s="2" t="str">
        <x:v>가상 철도예약</x:v>
      </x:c>
      <x:c r="L3" s="2" t="str">
        <x:v>법인카드</x:v>
      </x:c>
      <x:c r="M3" s="2" t="str">
        <x:v>신규고객</x:v>
      </x:c>
      <x:c r="N3" s="2" t="str">
        <x:v>고객사 방문 3명</x:v>
      </x:c>
    </x:row>
    <x:row r="4" ht="26" customHeight="1">
      <x:c r="A4" s="3" t="str">
        <x:v>W103</x:v>
      </x:c>
      <x:c r="B4" s="7" t="n">
        <x:v>46279</x:v>
      </x:c>
      <x:c r="C4" s="3" t="str">
        <x:v>마케팅</x:v>
      </x:c>
      <x:c r="D4" s="3" t="str">
        <x:v>뉴스레터 모집 광고</x:v>
      </x:c>
      <x:c r="E4" s="3" t="str">
        <x:v>광고비</x:v>
      </x:c>
      <x:c r="F4" s="13" t="n">
        <x:v>1</x:v>
      </x:c>
      <x:c r="G4" s="13" t="n">
        <x:v>175000</x:v>
      </x:c>
      <x:c r="H4" s="14" t="n">
        <x:f>F4*G4</x:f>
        <x:v>175000</x:v>
      </x:c>
      <x:c r="I4" s="3" t="str">
        <x:v>진행</x:v>
      </x:c>
      <x:c r="J4" s="3" t="str">
        <x:v>가상 도윤</x:v>
      </x:c>
      <x:c r="K4" s="3" t="str">
        <x:v>가상 검색광고</x:v>
      </x:c>
      <x:c r="L4" s="3" t="str">
        <x:v>계좌이체</x:v>
      </x:c>
      <x:c r="M4" s="3" t="str">
        <x:v>가을캠페인</x:v>
      </x:c>
      <x:c r="N4" s="3" t="str">
        <x:v>담당자 승인 대기</x:v>
      </x:c>
    </x:row>
    <x:row r="5" ht="26" customHeight="1">
      <x:c r="A5" s="2" t="str">
        <x:v>W104</x:v>
      </x:c>
      <x:c r="B5" s="8" t="n">
        <x:v>46280</x:v>
      </x:c>
      <x:c r="C5" s="2" t="str">
        <x:v>경영지원</x:v>
      </x:c>
      <x:c r="D5" s="2" t="str">
        <x:v>문서 작성 교육 교재</x:v>
      </x:c>
      <x:c r="E5" s="2" t="str">
        <x:v>교육비</x:v>
      </x:c>
      <x:c r="F5" s="13" t="n">
        <x:v>14</x:v>
      </x:c>
      <x:c r="G5" s="13" t="n">
        <x:v>9500</x:v>
      </x:c>
      <x:c r="H5" s="14" t="n">
        <x:f>F5*G5</x:f>
        <x:v>133000</x:v>
      </x:c>
      <x:c r="I5" s="2" t="str">
        <x:v>완료</x:v>
      </x:c>
      <x:c r="J5" s="2" t="str">
        <x:v>가상 민서</x:v>
      </x:c>
      <x:c r="K5" s="2" t="str">
        <x:v>가상 교육출판</x:v>
      </x:c>
      <x:c r="L5" s="2" t="str">
        <x:v>계좌이체</x:v>
      </x:c>
      <x:c r="M5" s="2" t="str">
        <x:v>사내교육</x:v>
      </x:c>
      <x:c r="N5" s="2" t="str">
        <x:v>교육 참석자 교재</x:v>
      </x:c>
    </x:row>
    <x:row r="6" ht="26" customHeight="1">
      <x:c r="A6" s="3" t="str">
        <x:v>W105</x:v>
      </x:c>
      <x:c r="B6" s="7" t="n">
        <x:v>46280</x:v>
      </x:c>
      <x:c r="C6" s="3" t="str">
        <x:v>영업</x:v>
      </x:c>
      <x:c r="D6" s="3" t="str">
        <x:v>신제품 제안 자료</x:v>
      </x:c>
      <x:c r="E6" s="3" t="str">
        <x:v>인쇄비</x:v>
      </x:c>
      <x:c r="F6" s="13" t="n">
        <x:v>35</x:v>
      </x:c>
      <x:c r="G6" s="13" t="n">
        <x:v>1200</x:v>
      </x:c>
      <x:c r="H6" s="14" t="n">
        <x:f>F6*G6</x:f>
        <x:v>42000</x:v>
      </x:c>
      <x:c r="I6" s="3" t="str">
        <x:v>진행</x:v>
      </x:c>
      <x:c r="J6" s="3" t="str">
        <x:v>가상 지호</x:v>
      </x:c>
      <x:c r="K6" s="3" t="str">
        <x:v>가상 출력공방</x:v>
      </x:c>
      <x:c r="L6" s="3" t="str">
        <x:v>법인카드</x:v>
      </x:c>
      <x:c r="M6" s="3" t="str">
        <x:v>신규고객</x:v>
      </x:c>
      <x:c r="N6" s="3" t="str">
        <x:v>인쇄 수량 확인 중</x:v>
      </x:c>
    </x:row>
    <x:row r="7" ht="26" customHeight="1">
      <x:c r="A7" s="2" t="str">
        <x:v>W106</x:v>
      </x:c>
      <x:c r="B7" s="8" t="n">
        <x:v>46280</x:v>
      </x:c>
      <x:c r="C7" s="2" t="str">
        <x:v>마케팅</x:v>
      </x:c>
      <x:c r="D7" s="2" t="str">
        <x:v>제품 소개 이미지</x:v>
      </x:c>
      <x:c r="E7" s="2" t="str">
        <x:v>디자인비</x:v>
      </x:c>
      <x:c r="F7" s="13" t="n">
        <x:v>3</x:v>
      </x:c>
      <x:c r="G7" s="13" t="n">
        <x:v>48000</x:v>
      </x:c>
      <x:c r="H7" s="14" t="n">
        <x:f>F7*G7</x:f>
        <x:v>144000</x:v>
      </x:c>
      <x:c r="I7" s="2" t="str">
        <x:v>완료</x:v>
      </x:c>
      <x:c r="J7" s="2" t="str">
        <x:v>가상 서윤</x:v>
      </x:c>
      <x:c r="K7" s="2" t="str">
        <x:v>가상 디자인스튜디오</x:v>
      </x:c>
      <x:c r="L7" s="2" t="str">
        <x:v>계좌이체</x:v>
      </x:c>
      <x:c r="M7" s="2" t="str">
        <x:v>콘텐츠제작</x:v>
      </x:c>
      <x:c r="N7" s="2" t="str">
        <x:v>이미지 3종 제작</x:v>
      </x:c>
    </x:row>
    <x:row r="8" ht="26" customHeight="1">
      <x:c r="A8" s="3" t="str">
        <x:v>W107</x:v>
      </x:c>
      <x:c r="B8" s="7" t="n">
        <x:v>46281</x:v>
      </x:c>
      <x:c r="C8" s="3" t="str">
        <x:v>경영지원</x:v>
      </x:c>
      <x:c r="D8" s="3" t="str">
        <x:v>사내 교육 점심</x:v>
      </x:c>
      <x:c r="E8" s="3" t="str">
        <x:v>식비</x:v>
      </x:c>
      <x:c r="F8" s="13" t="n">
        <x:v>14</x:v>
      </x:c>
      <x:c r="G8" s="13" t="n">
        <x:v>11500</x:v>
      </x:c>
      <x:c r="H8" s="14" t="n">
        <x:f>F8*G8</x:f>
        <x:v>161000</x:v>
      </x:c>
      <x:c r="I8" s="3" t="str">
        <x:v>완료</x:v>
      </x:c>
      <x:c r="J8" s="3" t="str">
        <x:v>가상 정민</x:v>
      </x:c>
      <x:c r="K8" s="3" t="str">
        <x:v>가상 점심식당</x:v>
      </x:c>
      <x:c r="L8" s="3" t="str">
        <x:v>법인카드</x:v>
      </x:c>
      <x:c r="M8" s="3" t="str">
        <x:v>사내교육</x:v>
      </x:c>
      <x:c r="N8" s="3" t="str">
        <x:v>교육 참석자 점심</x:v>
      </x:c>
    </x:row>
    <x:row r="9" ht="26" customHeight="1">
      <x:c r="A9" s="2" t="str">
        <x:v>W108</x:v>
      </x:c>
      <x:c r="B9" s="8" t="n">
        <x:v>46281</x:v>
      </x:c>
      <x:c r="C9" s="2" t="str">
        <x:v>영업</x:v>
      </x:c>
      <x:c r="D9" s="2" t="str">
        <x:v>제품 샘플 배송</x:v>
      </x:c>
      <x:c r="E9" s="2" t="str">
        <x:v>통신비</x:v>
      </x:c>
      <x:c r="F9" s="13" t="n">
        <x:v>7</x:v>
      </x:c>
      <x:c r="G9" s="13" t="n">
        <x:v>4500</x:v>
      </x:c>
      <x:c r="H9" s="14" t="n">
        <x:f>F9*G9</x:f>
        <x:v>31500</x:v>
      </x:c>
      <x:c r="I9" s="2" t="str">
        <x:v>완료</x:v>
      </x:c>
      <x:c r="J9" s="2" t="str">
        <x:v>가상 수아</x:v>
      </x:c>
      <x:c r="K9" s="2" t="str">
        <x:v>가상 배송서비스</x:v>
      </x:c>
      <x:c r="L9" s="2" t="str">
        <x:v>법인카드</x:v>
      </x:c>
      <x:c r="M9" s="2" t="str">
        <x:v>신규고객</x:v>
      </x:c>
      <x:c r="N9" s="2" t="str">
        <x:v>잠재 고객 7곳 발송</x:v>
      </x:c>
    </x:row>
    <x:row r="10" ht="26" customHeight="1">
      <x:c r="A10" s="3" t="str">
        <x:v>W109</x:v>
      </x:c>
      <x:c r="B10" s="7" t="n">
        <x:v>46281</x:v>
      </x:c>
      <x:c r="C10" s="3" t="str">
        <x:v>마케팅</x:v>
      </x:c>
      <x:c r="D10" s="3" t="str">
        <x:v>촬영 렌즈 대여</x:v>
      </x:c>
      <x:c r="E10" s="3" t="str">
        <x:v>대여비</x:v>
      </x:c>
      <x:c r="F10" s="13" t="n">
        <x:v>2</x:v>
      </x:c>
      <x:c r="G10" s="13" t="n">
        <x:v>55000</x:v>
      </x:c>
      <x:c r="H10" s="14" t="n">
        <x:f>F10*G10</x:f>
        <x:v>110000</x:v>
      </x:c>
      <x:c r="I10" s="3" t="str">
        <x:v>진행</x:v>
      </x:c>
      <x:c r="J10" s="3" t="str">
        <x:v>가상 도윤</x:v>
      </x:c>
      <x:c r="K10" s="3" t="str">
        <x:v>가상 장비대여</x:v>
      </x:c>
      <x:c r="L10" s="3" t="str">
        <x:v>계좌이체</x:v>
      </x:c>
      <x:c r="M10" s="3" t="str">
        <x:v>콘텐츠제작</x:v>
      </x:c>
      <x:c r="N10" s="3" t="str">
        <x:v>촬영 후 정산 예정</x:v>
      </x:c>
    </x:row>
    <x:row r="11" ht="26" customHeight="1">
      <x:c r="A11" s="2" t="str">
        <x:v>W110</x:v>
      </x:c>
      <x:c r="B11" s="8" t="n">
        <x:v>46282</x:v>
      </x:c>
      <x:c r="C11" s="2" t="str">
        <x:v>경영지원</x:v>
      </x:c>
      <x:c r="D11" s="2" t="str">
        <x:v>공용 마우스</x:v>
      </x:c>
      <x:c r="E11" s="2" t="str">
        <x:v>소모품</x:v>
      </x:c>
      <x:c r="F11" s="13" t="n">
        <x:v>3</x:v>
      </x:c>
      <x:c r="G11" s="13" t="n">
        <x:v>23500</x:v>
      </x:c>
      <x:c r="H11" s="14" t="n">
        <x:f>F11*G11</x:f>
        <x:v>70500</x:v>
      </x:c>
      <x:c r="I11" s="2" t="str">
        <x:v>진행</x:v>
      </x:c>
      <x:c r="J11" s="2" t="str">
        <x:v>가상 민서</x:v>
      </x:c>
      <x:c r="K11" s="2" t="str">
        <x:v>가상 전산상사</x:v>
      </x:c>
      <x:c r="L11" s="2" t="str">
        <x:v>법인카드</x:v>
      </x:c>
      <x:c r="M11" s="2" t="str">
        <x:v>사무환경</x:v>
      </x:c>
      <x:c r="N11" s="2" t="str">
        <x:v>비품 승인 대기</x:v>
      </x:c>
    </x:row>
    <x:row r="12" ht="26" customHeight="1">
      <x:c r="A12" s="3" t="str">
        <x:v>W111</x:v>
      </x:c>
      <x:c r="B12" s="7" t="n">
        <x:v>46282</x:v>
      </x:c>
      <x:c r="C12" s="3" t="str">
        <x:v>영업</x:v>
      </x:c>
      <x:c r="D12" s="3" t="str">
        <x:v>고객 설명회 음료</x:v>
      </x:c>
      <x:c r="E12" s="3" t="str">
        <x:v>식비</x:v>
      </x:c>
      <x:c r="F12" s="13" t="n">
        <x:v>9</x:v>
      </x:c>
      <x:c r="G12" s="13" t="n">
        <x:v>5200</x:v>
      </x:c>
      <x:c r="H12" s="14" t="n">
        <x:f>F12*G12</x:f>
        <x:v>46800</x:v>
      </x:c>
      <x:c r="I12" s="3" t="str">
        <x:v>완료</x:v>
      </x:c>
      <x:c r="J12" s="3" t="str">
        <x:v>가상 지호</x:v>
      </x:c>
      <x:c r="K12" s="3" t="str">
        <x:v>가상 커피매장</x:v>
      </x:c>
      <x:c r="L12" s="3" t="str">
        <x:v>법인카드</x:v>
      </x:c>
      <x:c r="M12" s="3" t="str">
        <x:v>신규고객</x:v>
      </x:c>
      <x:c r="N12" s="3" t="str">
        <x:v>설명회 참석자 음료</x:v>
      </x:c>
    </x:row>
    <x:row r="13" ht="26" customHeight="1">
      <x:c r="A13" s="2" t="str">
        <x:v>W112</x:v>
      </x:c>
      <x:c r="B13" s="8" t="n">
        <x:v>46282</x:v>
      </x:c>
      <x:c r="C13" s="2" t="str">
        <x:v>마케팅</x:v>
      </x:c>
      <x:c r="D13" s="2" t="str">
        <x:v>캠페인 안내 엽서</x:v>
      </x:c>
      <x:c r="E13" s="2" t="str">
        <x:v>인쇄비</x:v>
      </x:c>
      <x:c r="F13" s="13" t="n">
        <x:v>80</x:v>
      </x:c>
      <x:c r="G13" s="13" t="n">
        <x:v>850</x:v>
      </x:c>
      <x:c r="H13" s="14" t="n">
        <x:f>F13*G13</x:f>
        <x:v>68000</x:v>
      </x:c>
      <x:c r="I13" s="2" t="str">
        <x:v>완료</x:v>
      </x:c>
      <x:c r="J13" s="2" t="str">
        <x:v>가상 서윤</x:v>
      </x:c>
      <x:c r="K13" s="2" t="str">
        <x:v>가상 인쇄상사</x:v>
      </x:c>
      <x:c r="L13" s="2" t="str">
        <x:v>계좌이체</x:v>
      </x:c>
      <x:c r="M13" s="2" t="str">
        <x:v>가을캠페인</x:v>
      </x:c>
      <x:c r="N13" s="2" t="str">
        <x:v>안내 엽서 제작</x:v>
      </x:c>
    </x:row>
  </x:sheetData>
  <x:conditionalFormatting sqref="I2:I13">
    <x:cfRule type="containsText" dxfId="0" priority="1" operator="containsText" text="진행"/>
  </x:conditionalFormatting>
  <x:conditionalFormatting sqref="A2:A13">
    <x:cfRule type="duplicateValues" dxfId="1" priority="2"/>
  </x:conditionalFormatting>
  <x:conditionalFormatting sqref="G2:G13">
    <x:cfRule type="containsBlanks" dxfId="2" priority="3"/>
  </x:conditionalFormatting>
  <x:dataValidations count="1">
    <x:dataValidation type="list" sqref="I2:I13">
      <x:formula1>"완료,진행"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39f6518954b30"/>
  </x:tableParts>
</x:worksheet>
</file>